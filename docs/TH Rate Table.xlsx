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vo\OneDrive\Documents\GitHub\tigerhawk-tms\docs\"/>
    </mc:Choice>
  </mc:AlternateContent>
  <bookViews>
    <workbookView xWindow="0" yWindow="0" windowWidth="26990" windowHeight="1204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  <c r="G6" i="2"/>
  <c r="G5" i="2"/>
  <c r="G4" i="2"/>
  <c r="G3" i="2"/>
  <c r="H38" i="1" l="1"/>
  <c r="H37" i="1"/>
  <c r="H36" i="1"/>
  <c r="H35" i="1"/>
  <c r="H34" i="1"/>
  <c r="H33" i="1"/>
  <c r="H32" i="1"/>
  <c r="H31" i="1"/>
  <c r="H30" i="1"/>
  <c r="H29" i="1"/>
  <c r="J24" i="1"/>
  <c r="J23" i="1"/>
  <c r="J22" i="1"/>
  <c r="J21" i="1"/>
  <c r="J20" i="1"/>
  <c r="J19" i="1"/>
  <c r="J18" i="1"/>
  <c r="J17" i="1"/>
  <c r="J16" i="1"/>
  <c r="H52" i="1"/>
  <c r="H51" i="1"/>
  <c r="H50" i="1"/>
  <c r="H49" i="1"/>
  <c r="H48" i="1"/>
  <c r="H47" i="1"/>
  <c r="H46" i="1"/>
  <c r="H45" i="1"/>
  <c r="H44" i="1"/>
  <c r="H43" i="1"/>
  <c r="J64" i="1"/>
  <c r="J63" i="1"/>
  <c r="J62" i="1"/>
  <c r="J61" i="1"/>
  <c r="J60" i="1"/>
  <c r="J59" i="1"/>
  <c r="J58" i="1"/>
  <c r="J56" i="1"/>
  <c r="J57" i="1"/>
</calcChain>
</file>

<file path=xl/sharedStrings.xml><?xml version="1.0" encoding="utf-8"?>
<sst xmlns="http://schemas.openxmlformats.org/spreadsheetml/2006/main" count="598" uniqueCount="65">
  <si>
    <t>Zone</t>
  </si>
  <si>
    <t>OTR</t>
  </si>
  <si>
    <t>POH</t>
  </si>
  <si>
    <t>Pay Conditions</t>
  </si>
  <si>
    <t>By Leg</t>
  </si>
  <si>
    <t>From Event</t>
  </si>
  <si>
    <t>From Location</t>
  </si>
  <si>
    <t>To Event</t>
  </si>
  <si>
    <t>To Location</t>
  </si>
  <si>
    <t>Pick Up Load</t>
  </si>
  <si>
    <t>Deliver Load - D&amp;H</t>
  </si>
  <si>
    <t>Addl Cond</t>
  </si>
  <si>
    <t>Load Type</t>
  </si>
  <si>
    <t>Any in</t>
  </si>
  <si>
    <t>Import</t>
  </si>
  <si>
    <t>Addl Exec</t>
  </si>
  <si>
    <t>Addl Rule</t>
  </si>
  <si>
    <t>Pull Amt</t>
  </si>
  <si>
    <t>Hook Amt</t>
  </si>
  <si>
    <t>1.9/mi</t>
  </si>
  <si>
    <t>Charge Type</t>
  </si>
  <si>
    <t>DRAYAGE</t>
  </si>
  <si>
    <t>Hook Load OR Deliver Load</t>
  </si>
  <si>
    <t>THW</t>
  </si>
  <si>
    <t>Hook Load</t>
  </si>
  <si>
    <t>Deliver Load OR Deliver Load - D&amp;H</t>
  </si>
  <si>
    <t>PBP</t>
  </si>
  <si>
    <t>1.75/mi</t>
  </si>
  <si>
    <t>Drop Load</t>
  </si>
  <si>
    <t>Amt</t>
  </si>
  <si>
    <t>Export</t>
  </si>
  <si>
    <t>1.75mi</t>
  </si>
  <si>
    <t>auto add all to load</t>
  </si>
  <si>
    <t>Return Container</t>
  </si>
  <si>
    <t>By Mile</t>
  </si>
  <si>
    <t>POH Return Import</t>
  </si>
  <si>
    <t>POH Pick &amp; Deliver Import</t>
  </si>
  <si>
    <t>POH Pick &amp; Deliver Export</t>
  </si>
  <si>
    <t>Return Container OR Drop Load</t>
  </si>
  <si>
    <t>Baytown Hook &amp; Drop Import</t>
  </si>
  <si>
    <t>Baytown Hook &amp; Deliver Import</t>
  </si>
  <si>
    <t>POH Return Export - NOTE: **most expired, some active**</t>
  </si>
  <si>
    <t>From</t>
  </si>
  <si>
    <t>To</t>
  </si>
  <si>
    <t>Port of Houston Area (origin) → Zone 1</t>
  </si>
  <si>
    <t>Port of Houston Area (origin) → Zone 2</t>
  </si>
  <si>
    <t>Port of Houston Area (origin) → Zone 3</t>
  </si>
  <si>
    <t>Port of Houston Area (origin) → Zone 4</t>
  </si>
  <si>
    <t>Port of Houston Area (origin) → Zone 5</t>
  </si>
  <si>
    <t>Port of Houston Area (origin) → Zone 6</t>
  </si>
  <si>
    <t>Port of Houston Area (origin) → Zone 7</t>
  </si>
  <si>
    <t>Port of Houston Area (origin) → Zone 8</t>
  </si>
  <si>
    <t>Port of Houston Area (origin) → Zone 0</t>
  </si>
  <si>
    <t>Port of Houston Area (origin) → OTR</t>
  </si>
  <si>
    <t>Zone 0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</si>
  <si>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</si>
  <si>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</si>
  <si>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</si>
  <si>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</si>
  <si>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</si>
  <si>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</si>
  <si>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</si>
  <si>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</si>
  <si>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OK</t>
  </si>
  <si>
    <t>Auto Add to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</si>
</sst>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tabSelected="1" workbookViewId="0">
      <selection activeCell="A2" sqref="A2:N12"/>
    </sheetView>
  </sheetViews>
  <sheetFormatPr defaultRowHeight="14.5" x14ac:dyDescent="0.35"/>
  <cols>
    <col min="1" max="1" width="38.7265625" customWidth="1"/>
    <col min="2" max="3" width="7.7265625" customWidth="1"/>
    <col min="4" max="4" width="9.08984375" bestFit="1" customWidth="1"/>
    <col min="5" max="6" width="13.1796875" bestFit="1" customWidth="1"/>
    <col min="7" max="7" width="23.54296875" bestFit="1" customWidth="1"/>
    <col min="8" max="8" width="12.6328125" bestFit="1" customWidth="1"/>
    <col min="9" max="9" width="30.6328125" bestFit="1" customWidth="1"/>
    <col min="10" max="11" width="10.36328125" bestFit="1" customWidth="1"/>
    <col min="12" max="12" width="8.81640625" bestFit="1" customWidth="1"/>
    <col min="13" max="13" width="13.08984375" customWidth="1"/>
    <col min="14" max="14" width="15.36328125" bestFit="1" customWidth="1"/>
  </cols>
  <sheetData>
    <row r="1" spans="1:16" x14ac:dyDescent="0.35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x14ac:dyDescent="0.35">
      <c r="B2" t="s">
        <v>42</v>
      </c>
      <c r="C2" t="s">
        <v>43</v>
      </c>
      <c r="D2" t="s">
        <v>29</v>
      </c>
      <c r="E2" t="s">
        <v>3</v>
      </c>
      <c r="F2" t="s">
        <v>20</v>
      </c>
      <c r="G2" t="s">
        <v>5</v>
      </c>
      <c r="H2" t="s">
        <v>6</v>
      </c>
      <c r="I2" t="s">
        <v>7</v>
      </c>
      <c r="J2" t="s">
        <v>8</v>
      </c>
      <c r="K2" t="s">
        <v>16</v>
      </c>
      <c r="L2" t="s">
        <v>15</v>
      </c>
      <c r="M2" t="s">
        <v>11</v>
      </c>
      <c r="N2" t="s">
        <v>64</v>
      </c>
      <c r="P2" t="s">
        <v>32</v>
      </c>
    </row>
    <row r="3" spans="1:16" x14ac:dyDescent="0.35">
      <c r="A3" t="s">
        <v>52</v>
      </c>
      <c r="B3">
        <v>0</v>
      </c>
      <c r="C3">
        <v>15</v>
      </c>
      <c r="D3">
        <v>90</v>
      </c>
      <c r="E3" t="s">
        <v>4</v>
      </c>
      <c r="F3" t="s">
        <v>21</v>
      </c>
      <c r="G3" t="s">
        <v>9</v>
      </c>
      <c r="H3" t="s">
        <v>2</v>
      </c>
      <c r="I3" t="s">
        <v>10</v>
      </c>
      <c r="J3" t="s">
        <v>54</v>
      </c>
      <c r="K3" t="s">
        <v>12</v>
      </c>
      <c r="L3" t="s">
        <v>13</v>
      </c>
      <c r="M3" t="s">
        <v>14</v>
      </c>
      <c r="N3" t="s">
        <v>63</v>
      </c>
    </row>
    <row r="4" spans="1:16" x14ac:dyDescent="0.35">
      <c r="A4" t="s">
        <v>44</v>
      </c>
      <c r="B4">
        <v>16</v>
      </c>
      <c r="C4">
        <v>25</v>
      </c>
      <c r="D4">
        <v>114</v>
      </c>
      <c r="E4" t="s">
        <v>4</v>
      </c>
      <c r="F4" t="s">
        <v>21</v>
      </c>
      <c r="G4" t="s">
        <v>9</v>
      </c>
      <c r="H4" t="s">
        <v>2</v>
      </c>
      <c r="I4" t="s">
        <v>10</v>
      </c>
      <c r="J4" t="s">
        <v>55</v>
      </c>
      <c r="K4" t="s">
        <v>12</v>
      </c>
      <c r="L4" t="s">
        <v>13</v>
      </c>
      <c r="M4" t="s">
        <v>14</v>
      </c>
      <c r="N4" t="s">
        <v>63</v>
      </c>
    </row>
    <row r="5" spans="1:16" x14ac:dyDescent="0.35">
      <c r="A5" t="s">
        <v>45</v>
      </c>
      <c r="B5">
        <v>26</v>
      </c>
      <c r="C5">
        <v>35</v>
      </c>
      <c r="D5">
        <v>135</v>
      </c>
      <c r="E5" t="s">
        <v>4</v>
      </c>
      <c r="F5" t="s">
        <v>21</v>
      </c>
      <c r="G5" t="s">
        <v>9</v>
      </c>
      <c r="H5" t="s">
        <v>2</v>
      </c>
      <c r="I5" t="s">
        <v>10</v>
      </c>
      <c r="J5" t="s">
        <v>56</v>
      </c>
      <c r="K5" t="s">
        <v>12</v>
      </c>
      <c r="L5" t="s">
        <v>13</v>
      </c>
      <c r="M5" t="s">
        <v>14</v>
      </c>
      <c r="N5" t="s">
        <v>63</v>
      </c>
    </row>
    <row r="6" spans="1:16" x14ac:dyDescent="0.35">
      <c r="A6" t="s">
        <v>46</v>
      </c>
      <c r="B6">
        <v>36</v>
      </c>
      <c r="C6">
        <v>45</v>
      </c>
      <c r="D6">
        <v>148</v>
      </c>
      <c r="E6" t="s">
        <v>4</v>
      </c>
      <c r="F6" t="s">
        <v>21</v>
      </c>
      <c r="G6" t="s">
        <v>9</v>
      </c>
      <c r="H6" t="s">
        <v>2</v>
      </c>
      <c r="I6" t="s">
        <v>10</v>
      </c>
      <c r="J6" t="s">
        <v>57</v>
      </c>
      <c r="K6" t="s">
        <v>12</v>
      </c>
      <c r="L6" t="s">
        <v>13</v>
      </c>
      <c r="M6" t="s">
        <v>14</v>
      </c>
      <c r="N6" t="s">
        <v>63</v>
      </c>
    </row>
    <row r="7" spans="1:16" x14ac:dyDescent="0.35">
      <c r="A7" t="s">
        <v>47</v>
      </c>
      <c r="B7">
        <v>46</v>
      </c>
      <c r="C7">
        <v>55</v>
      </c>
      <c r="D7">
        <v>164</v>
      </c>
      <c r="E7" t="s">
        <v>4</v>
      </c>
      <c r="F7" t="s">
        <v>21</v>
      </c>
      <c r="G7" t="s">
        <v>9</v>
      </c>
      <c r="H7" t="s">
        <v>2</v>
      </c>
      <c r="I7" t="s">
        <v>10</v>
      </c>
      <c r="J7" t="s">
        <v>58</v>
      </c>
      <c r="K7" t="s">
        <v>12</v>
      </c>
      <c r="L7" t="s">
        <v>13</v>
      </c>
      <c r="M7" t="s">
        <v>14</v>
      </c>
      <c r="N7" t="s">
        <v>63</v>
      </c>
    </row>
    <row r="8" spans="1:16" x14ac:dyDescent="0.35">
      <c r="A8" t="s">
        <v>48</v>
      </c>
      <c r="B8">
        <v>56</v>
      </c>
      <c r="C8">
        <v>65</v>
      </c>
      <c r="D8">
        <v>180</v>
      </c>
      <c r="E8" t="s">
        <v>4</v>
      </c>
      <c r="F8" t="s">
        <v>21</v>
      </c>
      <c r="G8" t="s">
        <v>9</v>
      </c>
      <c r="H8" t="s">
        <v>2</v>
      </c>
      <c r="I8" t="s">
        <v>10</v>
      </c>
      <c r="J8" t="s">
        <v>59</v>
      </c>
      <c r="K8" t="s">
        <v>12</v>
      </c>
      <c r="L8" t="s">
        <v>13</v>
      </c>
      <c r="M8" t="s">
        <v>14</v>
      </c>
      <c r="N8" t="s">
        <v>63</v>
      </c>
    </row>
    <row r="9" spans="1:16" x14ac:dyDescent="0.35">
      <c r="A9" t="s">
        <v>49</v>
      </c>
      <c r="B9">
        <v>66</v>
      </c>
      <c r="C9">
        <v>75</v>
      </c>
      <c r="D9">
        <v>199</v>
      </c>
      <c r="E9" t="s">
        <v>4</v>
      </c>
      <c r="F9" t="s">
        <v>21</v>
      </c>
      <c r="G9" t="s">
        <v>9</v>
      </c>
      <c r="H9" t="s">
        <v>2</v>
      </c>
      <c r="I9" t="s">
        <v>10</v>
      </c>
      <c r="J9" t="s">
        <v>60</v>
      </c>
      <c r="K9" t="s">
        <v>12</v>
      </c>
      <c r="L9" t="s">
        <v>13</v>
      </c>
      <c r="M9" t="s">
        <v>14</v>
      </c>
      <c r="N9" t="s">
        <v>63</v>
      </c>
    </row>
    <row r="10" spans="1:16" x14ac:dyDescent="0.35">
      <c r="A10" t="s">
        <v>50</v>
      </c>
      <c r="B10">
        <v>76</v>
      </c>
      <c r="C10">
        <v>85</v>
      </c>
      <c r="D10">
        <v>220</v>
      </c>
      <c r="E10" t="s">
        <v>4</v>
      </c>
      <c r="F10" t="s">
        <v>21</v>
      </c>
      <c r="G10" t="s">
        <v>9</v>
      </c>
      <c r="H10" t="s">
        <v>2</v>
      </c>
      <c r="I10" t="s">
        <v>10</v>
      </c>
      <c r="J10" t="s">
        <v>61</v>
      </c>
      <c r="K10" t="s">
        <v>12</v>
      </c>
      <c r="L10" t="s">
        <v>13</v>
      </c>
      <c r="M10" t="s">
        <v>14</v>
      </c>
      <c r="N10" t="s">
        <v>63</v>
      </c>
    </row>
    <row r="11" spans="1:16" x14ac:dyDescent="0.35">
      <c r="A11" t="s">
        <v>51</v>
      </c>
      <c r="B11">
        <v>86</v>
      </c>
      <c r="C11">
        <v>99</v>
      </c>
      <c r="D11">
        <v>242</v>
      </c>
      <c r="E11" t="s">
        <v>4</v>
      </c>
      <c r="F11" t="s">
        <v>21</v>
      </c>
      <c r="G11" t="s">
        <v>9</v>
      </c>
      <c r="H11" t="s">
        <v>2</v>
      </c>
      <c r="I11" t="s">
        <v>10</v>
      </c>
      <c r="J11" t="s">
        <v>62</v>
      </c>
      <c r="K11" t="s">
        <v>12</v>
      </c>
      <c r="L11" t="s">
        <v>13</v>
      </c>
      <c r="M11" t="s">
        <v>14</v>
      </c>
      <c r="N11" t="s">
        <v>63</v>
      </c>
    </row>
    <row r="12" spans="1:16" x14ac:dyDescent="0.35">
      <c r="A12" t="s">
        <v>53</v>
      </c>
      <c r="B12" s="1">
        <v>100</v>
      </c>
      <c r="C12" s="1">
        <v>9999</v>
      </c>
      <c r="D12" s="1" t="s">
        <v>19</v>
      </c>
      <c r="E12" t="s">
        <v>4</v>
      </c>
      <c r="F12" t="s">
        <v>21</v>
      </c>
      <c r="G12" t="s">
        <v>9</v>
      </c>
      <c r="H12" t="s">
        <v>2</v>
      </c>
      <c r="I12" t="s">
        <v>10</v>
      </c>
      <c r="J12" s="5" t="s">
        <v>1</v>
      </c>
      <c r="K12" t="s">
        <v>12</v>
      </c>
      <c r="L12" t="s">
        <v>13</v>
      </c>
      <c r="M12" t="s">
        <v>14</v>
      </c>
      <c r="N12" t="s">
        <v>63</v>
      </c>
    </row>
    <row r="13" spans="1:16" x14ac:dyDescent="0.35">
      <c r="B13" s="1"/>
      <c r="C13" s="1"/>
    </row>
    <row r="14" spans="1:16" x14ac:dyDescent="0.35">
      <c r="A14" s="4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6" x14ac:dyDescent="0.35">
      <c r="D15" t="s">
        <v>29</v>
      </c>
      <c r="E15" t="s">
        <v>3</v>
      </c>
      <c r="F15" t="s">
        <v>20</v>
      </c>
      <c r="G15" t="s">
        <v>5</v>
      </c>
      <c r="H15" t="s">
        <v>6</v>
      </c>
      <c r="I15" t="s">
        <v>7</v>
      </c>
      <c r="J15" t="s">
        <v>8</v>
      </c>
      <c r="K15" t="s">
        <v>16</v>
      </c>
      <c r="L15" t="s">
        <v>15</v>
      </c>
      <c r="M15" t="s">
        <v>11</v>
      </c>
    </row>
    <row r="16" spans="1:16" x14ac:dyDescent="0.35">
      <c r="A16" t="s">
        <v>0</v>
      </c>
      <c r="D16" s="2">
        <v>85</v>
      </c>
      <c r="E16" t="s">
        <v>4</v>
      </c>
      <c r="F16" t="s">
        <v>21</v>
      </c>
      <c r="G16" t="s">
        <v>9</v>
      </c>
      <c r="H16" t="s">
        <v>2</v>
      </c>
      <c r="I16" t="s">
        <v>25</v>
      </c>
      <c r="J16" t="e">
        <f>#REF!</f>
        <v>#REF!</v>
      </c>
      <c r="K16" t="s">
        <v>12</v>
      </c>
      <c r="L16" t="s">
        <v>13</v>
      </c>
      <c r="M16" t="s">
        <v>30</v>
      </c>
    </row>
    <row r="17" spans="1:13" x14ac:dyDescent="0.35">
      <c r="D17">
        <v>74.87</v>
      </c>
      <c r="E17" t="s">
        <v>4</v>
      </c>
      <c r="F17" t="s">
        <v>21</v>
      </c>
      <c r="G17" t="s">
        <v>9</v>
      </c>
      <c r="H17" t="s">
        <v>2</v>
      </c>
      <c r="I17" t="s">
        <v>25</v>
      </c>
      <c r="J17" t="e">
        <f>#REF!</f>
        <v>#REF!</v>
      </c>
      <c r="K17" t="s">
        <v>12</v>
      </c>
      <c r="L17" t="s">
        <v>13</v>
      </c>
      <c r="M17" t="s">
        <v>30</v>
      </c>
    </row>
    <row r="18" spans="1:13" x14ac:dyDescent="0.35">
      <c r="D18">
        <v>88.63</v>
      </c>
      <c r="E18" t="s">
        <v>4</v>
      </c>
      <c r="F18" t="s">
        <v>21</v>
      </c>
      <c r="G18" t="s">
        <v>9</v>
      </c>
      <c r="H18" t="s">
        <v>2</v>
      </c>
      <c r="I18" t="s">
        <v>25</v>
      </c>
      <c r="J18" t="e">
        <f>#REF!</f>
        <v>#REF!</v>
      </c>
      <c r="K18" t="s">
        <v>12</v>
      </c>
      <c r="L18" t="s">
        <v>13</v>
      </c>
      <c r="M18" t="s">
        <v>30</v>
      </c>
    </row>
    <row r="19" spans="1:13" x14ac:dyDescent="0.35">
      <c r="D19" s="2">
        <v>148</v>
      </c>
      <c r="E19" t="s">
        <v>4</v>
      </c>
      <c r="F19" t="s">
        <v>21</v>
      </c>
      <c r="G19" t="s">
        <v>9</v>
      </c>
      <c r="H19" t="s">
        <v>2</v>
      </c>
      <c r="I19" t="s">
        <v>25</v>
      </c>
      <c r="J19" t="e">
        <f>#REF!</f>
        <v>#REF!</v>
      </c>
      <c r="K19" t="s">
        <v>12</v>
      </c>
      <c r="L19" t="s">
        <v>13</v>
      </c>
      <c r="M19" t="s">
        <v>30</v>
      </c>
    </row>
    <row r="20" spans="1:13" x14ac:dyDescent="0.35">
      <c r="D20">
        <v>107.73</v>
      </c>
      <c r="E20" t="s">
        <v>4</v>
      </c>
      <c r="F20" t="s">
        <v>21</v>
      </c>
      <c r="G20" t="s">
        <v>9</v>
      </c>
      <c r="H20" t="s">
        <v>2</v>
      </c>
      <c r="I20" t="s">
        <v>25</v>
      </c>
      <c r="J20" t="e">
        <f>#REF!</f>
        <v>#REF!</v>
      </c>
      <c r="K20" t="s">
        <v>12</v>
      </c>
      <c r="L20" t="s">
        <v>13</v>
      </c>
      <c r="M20" t="s">
        <v>30</v>
      </c>
    </row>
    <row r="21" spans="1:13" x14ac:dyDescent="0.35">
      <c r="D21">
        <v>118.78</v>
      </c>
      <c r="E21" t="s">
        <v>4</v>
      </c>
      <c r="F21" t="s">
        <v>21</v>
      </c>
      <c r="G21" t="s">
        <v>9</v>
      </c>
      <c r="H21" t="s">
        <v>2</v>
      </c>
      <c r="I21" t="s">
        <v>25</v>
      </c>
      <c r="J21" t="e">
        <f>#REF!</f>
        <v>#REF!</v>
      </c>
      <c r="K21" t="s">
        <v>12</v>
      </c>
      <c r="L21" t="s">
        <v>13</v>
      </c>
      <c r="M21" t="s">
        <v>30</v>
      </c>
    </row>
    <row r="22" spans="1:13" x14ac:dyDescent="0.35">
      <c r="D22">
        <v>130.94999999999999</v>
      </c>
      <c r="E22" t="s">
        <v>4</v>
      </c>
      <c r="F22" t="s">
        <v>21</v>
      </c>
      <c r="G22" t="s">
        <v>9</v>
      </c>
      <c r="H22" t="s">
        <v>2</v>
      </c>
      <c r="I22" t="s">
        <v>25</v>
      </c>
      <c r="J22" t="e">
        <f>#REF!</f>
        <v>#REF!</v>
      </c>
      <c r="K22" t="s">
        <v>12</v>
      </c>
      <c r="L22" t="s">
        <v>13</v>
      </c>
      <c r="M22" t="s">
        <v>30</v>
      </c>
    </row>
    <row r="23" spans="1:13" x14ac:dyDescent="0.35">
      <c r="D23">
        <v>144.38</v>
      </c>
      <c r="E23" t="s">
        <v>4</v>
      </c>
      <c r="F23" t="s">
        <v>21</v>
      </c>
      <c r="G23" t="s">
        <v>9</v>
      </c>
      <c r="H23" t="s">
        <v>2</v>
      </c>
      <c r="I23" t="s">
        <v>25</v>
      </c>
      <c r="J23" t="e">
        <f>#REF!</f>
        <v>#REF!</v>
      </c>
      <c r="K23" t="s">
        <v>12</v>
      </c>
      <c r="L23" t="s">
        <v>13</v>
      </c>
      <c r="M23" t="s">
        <v>30</v>
      </c>
    </row>
    <row r="24" spans="1:13" x14ac:dyDescent="0.35">
      <c r="D24">
        <v>159.16999999999999</v>
      </c>
      <c r="E24" t="s">
        <v>4</v>
      </c>
      <c r="F24" t="s">
        <v>21</v>
      </c>
      <c r="G24" t="s">
        <v>9</v>
      </c>
      <c r="H24" t="s">
        <v>2</v>
      </c>
      <c r="I24" t="s">
        <v>25</v>
      </c>
      <c r="J24" t="e">
        <f>#REF!</f>
        <v>#REF!</v>
      </c>
      <c r="K24" t="s">
        <v>12</v>
      </c>
      <c r="L24" t="s">
        <v>13</v>
      </c>
      <c r="M24" t="s">
        <v>30</v>
      </c>
    </row>
    <row r="25" spans="1:13" x14ac:dyDescent="0.35">
      <c r="B25" s="1"/>
      <c r="C25" s="1"/>
      <c r="D25" s="1" t="s">
        <v>31</v>
      </c>
      <c r="E25" t="s">
        <v>34</v>
      </c>
      <c r="F25" t="s">
        <v>21</v>
      </c>
      <c r="G25" t="s">
        <v>9</v>
      </c>
      <c r="H25" t="s">
        <v>2</v>
      </c>
      <c r="I25" t="s">
        <v>25</v>
      </c>
      <c r="J25" s="1" t="s">
        <v>1</v>
      </c>
      <c r="K25" t="s">
        <v>12</v>
      </c>
      <c r="L25" t="s">
        <v>13</v>
      </c>
      <c r="M25" t="s">
        <v>30</v>
      </c>
    </row>
    <row r="26" spans="1:13" x14ac:dyDescent="0.35">
      <c r="B26" s="1"/>
      <c r="C26" s="1"/>
    </row>
    <row r="27" spans="1:13" x14ac:dyDescent="0.35">
      <c r="A27" s="4" t="s">
        <v>35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5">
      <c r="B28" s="1"/>
      <c r="C28" s="1"/>
      <c r="D28" t="s">
        <v>29</v>
      </c>
      <c r="E28" t="s">
        <v>3</v>
      </c>
      <c r="F28" t="s">
        <v>20</v>
      </c>
      <c r="G28" t="s">
        <v>5</v>
      </c>
      <c r="H28" t="s">
        <v>6</v>
      </c>
      <c r="I28" t="s">
        <v>7</v>
      </c>
      <c r="J28" t="s">
        <v>8</v>
      </c>
      <c r="K28" t="s">
        <v>16</v>
      </c>
      <c r="L28" t="s">
        <v>15</v>
      </c>
      <c r="M28" t="s">
        <v>11</v>
      </c>
    </row>
    <row r="29" spans="1:13" x14ac:dyDescent="0.35">
      <c r="D29">
        <v>90</v>
      </c>
      <c r="E29" t="s">
        <v>4</v>
      </c>
      <c r="F29" t="s">
        <v>21</v>
      </c>
      <c r="G29" t="s">
        <v>22</v>
      </c>
      <c r="H29" s="1" t="e">
        <f>#REF!</f>
        <v>#REF!</v>
      </c>
      <c r="I29" t="s">
        <v>38</v>
      </c>
      <c r="J29" t="s">
        <v>2</v>
      </c>
      <c r="K29" t="s">
        <v>12</v>
      </c>
      <c r="L29" t="s">
        <v>13</v>
      </c>
      <c r="M29" t="s">
        <v>14</v>
      </c>
    </row>
    <row r="30" spans="1:13" x14ac:dyDescent="0.35">
      <c r="D30">
        <v>103</v>
      </c>
      <c r="E30" t="s">
        <v>4</v>
      </c>
      <c r="F30" t="s">
        <v>21</v>
      </c>
      <c r="G30" t="s">
        <v>22</v>
      </c>
      <c r="H30" s="1" t="e">
        <f>#REF!</f>
        <v>#REF!</v>
      </c>
      <c r="I30" t="s">
        <v>38</v>
      </c>
      <c r="J30" t="s">
        <v>2</v>
      </c>
      <c r="K30" t="s">
        <v>12</v>
      </c>
      <c r="L30" t="s">
        <v>13</v>
      </c>
      <c r="M30" t="s">
        <v>14</v>
      </c>
    </row>
    <row r="31" spans="1:13" x14ac:dyDescent="0.35">
      <c r="D31">
        <v>121</v>
      </c>
      <c r="E31" t="s">
        <v>4</v>
      </c>
      <c r="F31" t="s">
        <v>21</v>
      </c>
      <c r="G31" t="s">
        <v>22</v>
      </c>
      <c r="H31" s="1" t="e">
        <f>#REF!</f>
        <v>#REF!</v>
      </c>
      <c r="I31" t="s">
        <v>38</v>
      </c>
      <c r="J31" t="s">
        <v>2</v>
      </c>
      <c r="K31" t="s">
        <v>12</v>
      </c>
      <c r="L31" t="s">
        <v>13</v>
      </c>
      <c r="M31" t="s">
        <v>14</v>
      </c>
    </row>
    <row r="32" spans="1:13" x14ac:dyDescent="0.35">
      <c r="D32">
        <v>134</v>
      </c>
      <c r="E32" t="s">
        <v>4</v>
      </c>
      <c r="F32" t="s">
        <v>21</v>
      </c>
      <c r="G32" t="s">
        <v>22</v>
      </c>
      <c r="H32" s="1" t="e">
        <f>#REF!</f>
        <v>#REF!</v>
      </c>
      <c r="I32" t="s">
        <v>38</v>
      </c>
      <c r="J32" t="s">
        <v>2</v>
      </c>
      <c r="K32" t="s">
        <v>12</v>
      </c>
      <c r="L32" t="s">
        <v>13</v>
      </c>
      <c r="M32" t="s">
        <v>14</v>
      </c>
    </row>
    <row r="33" spans="1:13" x14ac:dyDescent="0.35">
      <c r="D33">
        <v>148</v>
      </c>
      <c r="E33" t="s">
        <v>4</v>
      </c>
      <c r="F33" t="s">
        <v>21</v>
      </c>
      <c r="G33" t="s">
        <v>22</v>
      </c>
      <c r="H33" s="1" t="e">
        <f>#REF!</f>
        <v>#REF!</v>
      </c>
      <c r="I33" t="s">
        <v>38</v>
      </c>
      <c r="J33" t="s">
        <v>2</v>
      </c>
      <c r="K33" t="s">
        <v>12</v>
      </c>
      <c r="L33" t="s">
        <v>13</v>
      </c>
      <c r="M33" t="s">
        <v>14</v>
      </c>
    </row>
    <row r="34" spans="1:13" x14ac:dyDescent="0.35">
      <c r="D34">
        <v>163</v>
      </c>
      <c r="E34" t="s">
        <v>4</v>
      </c>
      <c r="F34" t="s">
        <v>21</v>
      </c>
      <c r="G34" t="s">
        <v>22</v>
      </c>
      <c r="H34" s="1" t="e">
        <f>#REF!</f>
        <v>#REF!</v>
      </c>
      <c r="I34" t="s">
        <v>38</v>
      </c>
      <c r="J34" t="s">
        <v>2</v>
      </c>
      <c r="K34" t="s">
        <v>12</v>
      </c>
      <c r="L34" t="s">
        <v>13</v>
      </c>
      <c r="M34" t="s">
        <v>14</v>
      </c>
    </row>
    <row r="35" spans="1:13" x14ac:dyDescent="0.35">
      <c r="D35">
        <v>180</v>
      </c>
      <c r="E35" t="s">
        <v>4</v>
      </c>
      <c r="F35" t="s">
        <v>21</v>
      </c>
      <c r="G35" t="s">
        <v>22</v>
      </c>
      <c r="H35" s="1" t="e">
        <f>#REF!</f>
        <v>#REF!</v>
      </c>
      <c r="I35" t="s">
        <v>38</v>
      </c>
      <c r="J35" t="s">
        <v>2</v>
      </c>
      <c r="K35" t="s">
        <v>12</v>
      </c>
      <c r="L35" t="s">
        <v>13</v>
      </c>
      <c r="M35" t="s">
        <v>14</v>
      </c>
    </row>
    <row r="36" spans="1:13" x14ac:dyDescent="0.35">
      <c r="D36">
        <v>198</v>
      </c>
      <c r="E36" t="s">
        <v>4</v>
      </c>
      <c r="F36" t="s">
        <v>21</v>
      </c>
      <c r="G36" t="s">
        <v>22</v>
      </c>
      <c r="H36" s="1" t="e">
        <f>#REF!</f>
        <v>#REF!</v>
      </c>
      <c r="I36" t="s">
        <v>38</v>
      </c>
      <c r="J36" t="s">
        <v>2</v>
      </c>
      <c r="K36" t="s">
        <v>12</v>
      </c>
      <c r="L36" t="s">
        <v>13</v>
      </c>
      <c r="M36" t="s">
        <v>14</v>
      </c>
    </row>
    <row r="37" spans="1:13" x14ac:dyDescent="0.35">
      <c r="D37">
        <v>218</v>
      </c>
      <c r="E37" t="s">
        <v>4</v>
      </c>
      <c r="F37" t="s">
        <v>21</v>
      </c>
      <c r="G37" t="s">
        <v>22</v>
      </c>
      <c r="H37" s="1" t="e">
        <f>#REF!</f>
        <v>#REF!</v>
      </c>
      <c r="I37" t="s">
        <v>38</v>
      </c>
      <c r="J37" t="s">
        <v>2</v>
      </c>
      <c r="K37" t="s">
        <v>12</v>
      </c>
      <c r="L37" t="s">
        <v>13</v>
      </c>
      <c r="M37" t="s">
        <v>14</v>
      </c>
    </row>
    <row r="38" spans="1:13" x14ac:dyDescent="0.35">
      <c r="B38" s="1"/>
      <c r="C38" s="1"/>
      <c r="D38" s="1" t="s">
        <v>19</v>
      </c>
      <c r="E38" t="s">
        <v>34</v>
      </c>
      <c r="F38" t="s">
        <v>21</v>
      </c>
      <c r="G38" t="s">
        <v>22</v>
      </c>
      <c r="H38" s="1" t="e">
        <f>#REF!</f>
        <v>#REF!</v>
      </c>
      <c r="I38" t="s">
        <v>38</v>
      </c>
      <c r="J38" t="s">
        <v>2</v>
      </c>
      <c r="K38" t="s">
        <v>12</v>
      </c>
      <c r="L38" t="s">
        <v>13</v>
      </c>
      <c r="M38" t="s">
        <v>14</v>
      </c>
    </row>
    <row r="39" spans="1:13" x14ac:dyDescent="0.35">
      <c r="B39" s="1"/>
      <c r="C39" s="1"/>
      <c r="D39">
        <v>103</v>
      </c>
      <c r="E39" t="s">
        <v>4</v>
      </c>
      <c r="F39" t="s">
        <v>21</v>
      </c>
      <c r="G39" t="s">
        <v>22</v>
      </c>
      <c r="H39" s="1" t="s">
        <v>26</v>
      </c>
      <c r="I39" t="s">
        <v>38</v>
      </c>
      <c r="J39" t="s">
        <v>2</v>
      </c>
      <c r="K39" t="s">
        <v>12</v>
      </c>
      <c r="L39" t="s">
        <v>13</v>
      </c>
      <c r="M39" t="s">
        <v>14</v>
      </c>
    </row>
    <row r="40" spans="1:13" x14ac:dyDescent="0.35">
      <c r="B40" s="1"/>
      <c r="C40" s="1"/>
    </row>
    <row r="41" spans="1:13" x14ac:dyDescent="0.35">
      <c r="A41" s="4" t="s">
        <v>39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5">
      <c r="D42" t="s">
        <v>17</v>
      </c>
      <c r="E42" t="s">
        <v>3</v>
      </c>
      <c r="G42" t="s">
        <v>5</v>
      </c>
      <c r="H42" t="s">
        <v>6</v>
      </c>
      <c r="I42" t="s">
        <v>7</v>
      </c>
      <c r="J42" t="s">
        <v>8</v>
      </c>
      <c r="K42" t="s">
        <v>16</v>
      </c>
      <c r="L42" t="s">
        <v>15</v>
      </c>
      <c r="M42" t="s">
        <v>11</v>
      </c>
    </row>
    <row r="43" spans="1:13" x14ac:dyDescent="0.35">
      <c r="A43" t="s">
        <v>0</v>
      </c>
      <c r="D43">
        <v>62.05</v>
      </c>
      <c r="E43" t="s">
        <v>4</v>
      </c>
      <c r="F43" t="s">
        <v>21</v>
      </c>
      <c r="G43" t="s">
        <v>24</v>
      </c>
      <c r="H43" s="1" t="e">
        <f>#REF!</f>
        <v>#REF!</v>
      </c>
      <c r="I43" t="s">
        <v>28</v>
      </c>
      <c r="J43" t="s">
        <v>23</v>
      </c>
      <c r="K43" t="s">
        <v>12</v>
      </c>
      <c r="L43" t="s">
        <v>13</v>
      </c>
      <c r="M43" t="s">
        <v>14</v>
      </c>
    </row>
    <row r="44" spans="1:13" x14ac:dyDescent="0.35">
      <c r="D44">
        <v>74.87</v>
      </c>
      <c r="E44" t="s">
        <v>4</v>
      </c>
      <c r="F44" t="s">
        <v>21</v>
      </c>
      <c r="G44" t="s">
        <v>24</v>
      </c>
      <c r="H44" s="1" t="e">
        <f>#REF!</f>
        <v>#REF!</v>
      </c>
      <c r="I44" t="s">
        <v>28</v>
      </c>
      <c r="J44" t="s">
        <v>23</v>
      </c>
      <c r="K44" t="s">
        <v>12</v>
      </c>
      <c r="L44" t="s">
        <v>13</v>
      </c>
      <c r="M44" t="s">
        <v>14</v>
      </c>
    </row>
    <row r="45" spans="1:13" x14ac:dyDescent="0.35">
      <c r="D45">
        <v>88.63</v>
      </c>
      <c r="E45" t="s">
        <v>4</v>
      </c>
      <c r="F45" t="s">
        <v>21</v>
      </c>
      <c r="G45" t="s">
        <v>24</v>
      </c>
      <c r="H45" s="1" t="e">
        <f>#REF!</f>
        <v>#REF!</v>
      </c>
      <c r="I45" t="s">
        <v>28</v>
      </c>
      <c r="J45" t="s">
        <v>23</v>
      </c>
      <c r="K45" t="s">
        <v>12</v>
      </c>
      <c r="L45" t="s">
        <v>13</v>
      </c>
      <c r="M45" t="s">
        <v>14</v>
      </c>
    </row>
    <row r="46" spans="1:13" x14ac:dyDescent="0.35">
      <c r="D46" s="2">
        <v>148</v>
      </c>
      <c r="E46" t="s">
        <v>4</v>
      </c>
      <c r="F46" t="s">
        <v>21</v>
      </c>
      <c r="G46" t="s">
        <v>24</v>
      </c>
      <c r="H46" s="1" t="e">
        <f>#REF!</f>
        <v>#REF!</v>
      </c>
      <c r="I46" t="s">
        <v>28</v>
      </c>
      <c r="J46" t="s">
        <v>23</v>
      </c>
      <c r="K46" t="s">
        <v>12</v>
      </c>
      <c r="L46" t="s">
        <v>13</v>
      </c>
      <c r="M46" t="s">
        <v>14</v>
      </c>
    </row>
    <row r="47" spans="1:13" x14ac:dyDescent="0.35">
      <c r="D47">
        <v>107.73</v>
      </c>
      <c r="E47" t="s">
        <v>4</v>
      </c>
      <c r="F47" t="s">
        <v>21</v>
      </c>
      <c r="G47" t="s">
        <v>24</v>
      </c>
      <c r="H47" s="1" t="e">
        <f>#REF!</f>
        <v>#REF!</v>
      </c>
      <c r="I47" t="s">
        <v>28</v>
      </c>
      <c r="J47" t="s">
        <v>23</v>
      </c>
      <c r="K47" t="s">
        <v>12</v>
      </c>
      <c r="L47" t="s">
        <v>13</v>
      </c>
      <c r="M47" t="s">
        <v>14</v>
      </c>
    </row>
    <row r="48" spans="1:13" x14ac:dyDescent="0.35">
      <c r="D48">
        <v>118.78</v>
      </c>
      <c r="E48" t="s">
        <v>4</v>
      </c>
      <c r="F48" t="s">
        <v>21</v>
      </c>
      <c r="G48" t="s">
        <v>24</v>
      </c>
      <c r="H48" s="1" t="e">
        <f>#REF!</f>
        <v>#REF!</v>
      </c>
      <c r="I48" t="s">
        <v>28</v>
      </c>
      <c r="J48" t="s">
        <v>23</v>
      </c>
      <c r="K48" t="s">
        <v>12</v>
      </c>
      <c r="L48" t="s">
        <v>13</v>
      </c>
      <c r="M48" t="s">
        <v>14</v>
      </c>
    </row>
    <row r="49" spans="1:13" x14ac:dyDescent="0.35">
      <c r="D49">
        <v>130.94999999999999</v>
      </c>
      <c r="E49" t="s">
        <v>4</v>
      </c>
      <c r="F49" t="s">
        <v>21</v>
      </c>
      <c r="G49" t="s">
        <v>24</v>
      </c>
      <c r="H49" s="1" t="e">
        <f>#REF!</f>
        <v>#REF!</v>
      </c>
      <c r="I49" t="s">
        <v>28</v>
      </c>
      <c r="J49" t="s">
        <v>23</v>
      </c>
      <c r="K49" t="s">
        <v>12</v>
      </c>
      <c r="L49" t="s">
        <v>13</v>
      </c>
      <c r="M49" t="s">
        <v>14</v>
      </c>
    </row>
    <row r="50" spans="1:13" x14ac:dyDescent="0.35">
      <c r="D50">
        <v>144.38</v>
      </c>
      <c r="E50" t="s">
        <v>4</v>
      </c>
      <c r="F50" t="s">
        <v>21</v>
      </c>
      <c r="G50" t="s">
        <v>24</v>
      </c>
      <c r="H50" s="1" t="e">
        <f>#REF!</f>
        <v>#REF!</v>
      </c>
      <c r="I50" t="s">
        <v>28</v>
      </c>
      <c r="J50" t="s">
        <v>23</v>
      </c>
      <c r="K50" t="s">
        <v>12</v>
      </c>
      <c r="L50" t="s">
        <v>13</v>
      </c>
      <c r="M50" t="s">
        <v>14</v>
      </c>
    </row>
    <row r="51" spans="1:13" x14ac:dyDescent="0.35">
      <c r="D51">
        <v>159.16999999999999</v>
      </c>
      <c r="E51" t="s">
        <v>4</v>
      </c>
      <c r="F51" t="s">
        <v>21</v>
      </c>
      <c r="G51" t="s">
        <v>24</v>
      </c>
      <c r="H51" s="1" t="e">
        <f>#REF!</f>
        <v>#REF!</v>
      </c>
      <c r="I51" t="s">
        <v>28</v>
      </c>
      <c r="J51" t="s">
        <v>23</v>
      </c>
      <c r="K51" t="s">
        <v>12</v>
      </c>
      <c r="L51" t="s">
        <v>13</v>
      </c>
      <c r="M51" t="s">
        <v>14</v>
      </c>
    </row>
    <row r="52" spans="1:13" x14ac:dyDescent="0.35">
      <c r="B52" s="1"/>
      <c r="C52" s="1"/>
      <c r="D52">
        <v>1.75</v>
      </c>
      <c r="E52" t="s">
        <v>34</v>
      </c>
      <c r="F52" t="s">
        <v>21</v>
      </c>
      <c r="G52" t="s">
        <v>24</v>
      </c>
      <c r="H52" s="1" t="e">
        <f>#REF!</f>
        <v>#REF!</v>
      </c>
      <c r="I52" t="s">
        <v>28</v>
      </c>
      <c r="J52" t="s">
        <v>23</v>
      </c>
      <c r="K52" t="s">
        <v>12</v>
      </c>
      <c r="L52" t="s">
        <v>13</v>
      </c>
      <c r="M52" t="s">
        <v>14</v>
      </c>
    </row>
    <row r="53" spans="1:13" x14ac:dyDescent="0.35">
      <c r="H53" s="1"/>
    </row>
    <row r="54" spans="1:13" x14ac:dyDescent="0.35">
      <c r="A54" s="4" t="s">
        <v>40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5">
      <c r="D55" t="s">
        <v>18</v>
      </c>
      <c r="E55" t="s">
        <v>3</v>
      </c>
      <c r="G55" t="s">
        <v>5</v>
      </c>
      <c r="H55" s="1" t="s">
        <v>6</v>
      </c>
      <c r="I55" t="s">
        <v>7</v>
      </c>
      <c r="J55" t="s">
        <v>8</v>
      </c>
      <c r="K55" t="s">
        <v>16</v>
      </c>
      <c r="L55" t="s">
        <v>15</v>
      </c>
      <c r="M55" t="s">
        <v>11</v>
      </c>
    </row>
    <row r="56" spans="1:13" x14ac:dyDescent="0.35">
      <c r="D56">
        <v>90</v>
      </c>
      <c r="E56" t="s">
        <v>4</v>
      </c>
      <c r="F56" t="s">
        <v>21</v>
      </c>
      <c r="G56" t="s">
        <v>24</v>
      </c>
      <c r="H56" s="1" t="s">
        <v>23</v>
      </c>
      <c r="I56" t="s">
        <v>25</v>
      </c>
      <c r="J56" t="e">
        <f>#REF!</f>
        <v>#REF!</v>
      </c>
      <c r="K56" t="s">
        <v>12</v>
      </c>
      <c r="L56" t="s">
        <v>13</v>
      </c>
      <c r="M56" t="s">
        <v>14</v>
      </c>
    </row>
    <row r="57" spans="1:13" x14ac:dyDescent="0.35">
      <c r="D57" s="2">
        <v>114</v>
      </c>
      <c r="E57" t="s">
        <v>4</v>
      </c>
      <c r="F57" t="s">
        <v>21</v>
      </c>
      <c r="G57" t="s">
        <v>24</v>
      </c>
      <c r="H57" s="1" t="s">
        <v>23</v>
      </c>
      <c r="I57" t="s">
        <v>25</v>
      </c>
      <c r="J57" t="e">
        <f>#REF!</f>
        <v>#REF!</v>
      </c>
      <c r="K57" t="s">
        <v>12</v>
      </c>
      <c r="L57" t="s">
        <v>13</v>
      </c>
      <c r="M57" t="s">
        <v>14</v>
      </c>
    </row>
    <row r="58" spans="1:13" x14ac:dyDescent="0.35">
      <c r="D58">
        <v>98.48</v>
      </c>
      <c r="E58" t="s">
        <v>4</v>
      </c>
      <c r="F58" t="s">
        <v>21</v>
      </c>
      <c r="G58" t="s">
        <v>24</v>
      </c>
      <c r="H58" s="1" t="s">
        <v>23</v>
      </c>
      <c r="I58" t="s">
        <v>25</v>
      </c>
      <c r="J58" t="e">
        <f>#REF!</f>
        <v>#REF!</v>
      </c>
      <c r="K58" t="s">
        <v>12</v>
      </c>
      <c r="L58" t="s">
        <v>13</v>
      </c>
      <c r="M58" t="s">
        <v>14</v>
      </c>
    </row>
    <row r="59" spans="1:13" x14ac:dyDescent="0.35">
      <c r="D59">
        <v>108.58</v>
      </c>
      <c r="E59" t="s">
        <v>4</v>
      </c>
      <c r="F59" t="s">
        <v>21</v>
      </c>
      <c r="G59" t="s">
        <v>24</v>
      </c>
      <c r="H59" s="1" t="s">
        <v>23</v>
      </c>
      <c r="I59" t="s">
        <v>25</v>
      </c>
      <c r="J59" t="e">
        <f>#REF!</f>
        <v>#REF!</v>
      </c>
      <c r="K59" t="s">
        <v>12</v>
      </c>
      <c r="L59" t="s">
        <v>13</v>
      </c>
      <c r="M59" t="s">
        <v>14</v>
      </c>
    </row>
    <row r="60" spans="1:13" x14ac:dyDescent="0.35">
      <c r="D60">
        <v>119.71</v>
      </c>
      <c r="E60" t="s">
        <v>4</v>
      </c>
      <c r="F60" t="s">
        <v>21</v>
      </c>
      <c r="G60" t="s">
        <v>24</v>
      </c>
      <c r="H60" s="1" t="s">
        <v>23</v>
      </c>
      <c r="I60" t="s">
        <v>25</v>
      </c>
      <c r="J60" t="e">
        <f>#REF!</f>
        <v>#REF!</v>
      </c>
      <c r="K60" t="s">
        <v>12</v>
      </c>
      <c r="L60" t="s">
        <v>13</v>
      </c>
      <c r="M60" t="s">
        <v>14</v>
      </c>
    </row>
    <row r="61" spans="1:13" x14ac:dyDescent="0.35">
      <c r="D61">
        <v>131.97999999999999</v>
      </c>
      <c r="E61" t="s">
        <v>4</v>
      </c>
      <c r="F61" t="s">
        <v>21</v>
      </c>
      <c r="G61" t="s">
        <v>24</v>
      </c>
      <c r="H61" s="1" t="s">
        <v>23</v>
      </c>
      <c r="I61" t="s">
        <v>25</v>
      </c>
      <c r="J61" t="e">
        <f>#REF!</f>
        <v>#REF!</v>
      </c>
      <c r="K61" t="s">
        <v>12</v>
      </c>
      <c r="L61" t="s">
        <v>13</v>
      </c>
      <c r="M61" t="s">
        <v>14</v>
      </c>
    </row>
    <row r="62" spans="1:13" x14ac:dyDescent="0.35">
      <c r="D62">
        <v>145.5</v>
      </c>
      <c r="E62" t="s">
        <v>4</v>
      </c>
      <c r="F62" t="s">
        <v>21</v>
      </c>
      <c r="G62" t="s">
        <v>24</v>
      </c>
      <c r="H62" s="1" t="s">
        <v>23</v>
      </c>
      <c r="I62" t="s">
        <v>25</v>
      </c>
      <c r="J62" t="e">
        <f>#REF!</f>
        <v>#REF!</v>
      </c>
      <c r="K62" t="s">
        <v>12</v>
      </c>
      <c r="L62" t="s">
        <v>13</v>
      </c>
      <c r="M62" t="s">
        <v>14</v>
      </c>
    </row>
    <row r="63" spans="1:13" x14ac:dyDescent="0.35">
      <c r="D63">
        <v>160.41999999999999</v>
      </c>
      <c r="E63" t="s">
        <v>4</v>
      </c>
      <c r="F63" t="s">
        <v>21</v>
      </c>
      <c r="G63" t="s">
        <v>24</v>
      </c>
      <c r="H63" s="1" t="s">
        <v>23</v>
      </c>
      <c r="I63" t="s">
        <v>25</v>
      </c>
      <c r="J63" t="e">
        <f>#REF!</f>
        <v>#REF!</v>
      </c>
      <c r="K63" t="s">
        <v>12</v>
      </c>
      <c r="L63" t="s">
        <v>13</v>
      </c>
      <c r="M63" t="s">
        <v>14</v>
      </c>
    </row>
    <row r="64" spans="1:13" x14ac:dyDescent="0.35">
      <c r="D64">
        <v>176.86</v>
      </c>
      <c r="E64" t="s">
        <v>4</v>
      </c>
      <c r="F64" t="s">
        <v>21</v>
      </c>
      <c r="G64" t="s">
        <v>24</v>
      </c>
      <c r="H64" s="1" t="s">
        <v>23</v>
      </c>
      <c r="I64" t="s">
        <v>25</v>
      </c>
      <c r="J64" t="e">
        <f>#REF!</f>
        <v>#REF!</v>
      </c>
      <c r="K64" t="s">
        <v>12</v>
      </c>
      <c r="L64" t="s">
        <v>13</v>
      </c>
      <c r="M64" t="s">
        <v>14</v>
      </c>
    </row>
    <row r="65" spans="2:13" x14ac:dyDescent="0.35">
      <c r="B65" s="1"/>
      <c r="C65" s="1"/>
      <c r="D65" s="1" t="s">
        <v>27</v>
      </c>
      <c r="E65" t="s">
        <v>34</v>
      </c>
      <c r="F65" t="s">
        <v>21</v>
      </c>
      <c r="G65" t="s">
        <v>24</v>
      </c>
      <c r="H65" s="1" t="s">
        <v>23</v>
      </c>
      <c r="I65" t="s">
        <v>25</v>
      </c>
      <c r="J65" s="1" t="s">
        <v>1</v>
      </c>
      <c r="K65" t="s">
        <v>12</v>
      </c>
      <c r="L65" t="s">
        <v>13</v>
      </c>
      <c r="M65" t="s">
        <v>14</v>
      </c>
    </row>
    <row r="66" spans="2:13" x14ac:dyDescent="0.35">
      <c r="H66" s="1"/>
      <c r="J66" s="1"/>
    </row>
  </sheetData>
  <mergeCells count="5">
    <mergeCell ref="A54:M54"/>
    <mergeCell ref="A1:M1"/>
    <mergeCell ref="A14:M14"/>
    <mergeCell ref="A27:M27"/>
    <mergeCell ref="A41:M4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sqref="A1:L12"/>
    </sheetView>
  </sheetViews>
  <sheetFormatPr defaultRowHeight="14.5" x14ac:dyDescent="0.35"/>
  <sheetData>
    <row r="1" spans="1:12" x14ac:dyDescent="0.3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C2" t="s">
        <v>29</v>
      </c>
      <c r="D2" t="s">
        <v>3</v>
      </c>
      <c r="E2" t="s">
        <v>20</v>
      </c>
      <c r="F2" t="s">
        <v>5</v>
      </c>
      <c r="G2" t="s">
        <v>6</v>
      </c>
      <c r="H2" t="s">
        <v>7</v>
      </c>
      <c r="I2" t="s">
        <v>8</v>
      </c>
      <c r="J2" t="s">
        <v>16</v>
      </c>
      <c r="K2" t="s">
        <v>15</v>
      </c>
      <c r="L2" t="s">
        <v>11</v>
      </c>
    </row>
    <row r="3" spans="1:12" x14ac:dyDescent="0.35">
      <c r="A3" t="s">
        <v>0</v>
      </c>
      <c r="B3">
        <v>0</v>
      </c>
      <c r="C3" s="3">
        <v>65.7</v>
      </c>
      <c r="D3" t="s">
        <v>4</v>
      </c>
      <c r="E3" t="s">
        <v>21</v>
      </c>
      <c r="F3" t="s">
        <v>22</v>
      </c>
      <c r="G3" s="1">
        <f t="shared" ref="G3:G12" si="0">B3</f>
        <v>0</v>
      </c>
      <c r="H3" t="s">
        <v>33</v>
      </c>
      <c r="I3" t="s">
        <v>2</v>
      </c>
      <c r="J3" t="s">
        <v>12</v>
      </c>
      <c r="K3" t="s">
        <v>13</v>
      </c>
      <c r="L3" t="s">
        <v>30</v>
      </c>
    </row>
    <row r="4" spans="1:12" x14ac:dyDescent="0.35">
      <c r="B4">
        <v>1</v>
      </c>
      <c r="C4" s="3">
        <v>83.2</v>
      </c>
      <c r="D4" t="s">
        <v>4</v>
      </c>
      <c r="E4" t="s">
        <v>21</v>
      </c>
      <c r="F4" t="s">
        <v>22</v>
      </c>
      <c r="G4" s="1">
        <f t="shared" si="0"/>
        <v>1</v>
      </c>
      <c r="H4" t="s">
        <v>33</v>
      </c>
      <c r="I4" t="s">
        <v>2</v>
      </c>
      <c r="J4" t="s">
        <v>12</v>
      </c>
      <c r="K4" t="s">
        <v>13</v>
      </c>
      <c r="L4" t="s">
        <v>30</v>
      </c>
    </row>
    <row r="5" spans="1:12" x14ac:dyDescent="0.35">
      <c r="B5">
        <v>2</v>
      </c>
      <c r="C5" s="3">
        <v>98.48</v>
      </c>
      <c r="D5" t="s">
        <v>4</v>
      </c>
      <c r="E5" t="s">
        <v>21</v>
      </c>
      <c r="F5" t="s">
        <v>22</v>
      </c>
      <c r="G5" s="1">
        <f t="shared" si="0"/>
        <v>2</v>
      </c>
      <c r="H5" t="s">
        <v>33</v>
      </c>
      <c r="I5" t="s">
        <v>2</v>
      </c>
      <c r="J5" t="s">
        <v>12</v>
      </c>
      <c r="K5" t="s">
        <v>13</v>
      </c>
      <c r="L5" t="s">
        <v>30</v>
      </c>
    </row>
    <row r="6" spans="1:12" x14ac:dyDescent="0.35">
      <c r="B6">
        <v>3</v>
      </c>
      <c r="C6" s="2"/>
      <c r="D6" t="s">
        <v>4</v>
      </c>
      <c r="E6" t="s">
        <v>21</v>
      </c>
      <c r="F6" t="s">
        <v>22</v>
      </c>
      <c r="G6" s="1">
        <f t="shared" si="0"/>
        <v>3</v>
      </c>
      <c r="H6" t="s">
        <v>33</v>
      </c>
      <c r="I6" t="s">
        <v>2</v>
      </c>
      <c r="J6" t="s">
        <v>12</v>
      </c>
      <c r="K6" t="s">
        <v>13</v>
      </c>
      <c r="L6" t="s">
        <v>30</v>
      </c>
    </row>
    <row r="7" spans="1:12" x14ac:dyDescent="0.35">
      <c r="B7">
        <v>4</v>
      </c>
      <c r="C7" s="3">
        <v>119.71</v>
      </c>
      <c r="D7" t="s">
        <v>4</v>
      </c>
      <c r="E7" t="s">
        <v>21</v>
      </c>
      <c r="F7" t="s">
        <v>22</v>
      </c>
      <c r="G7" s="1">
        <f t="shared" si="0"/>
        <v>4</v>
      </c>
      <c r="H7" t="s">
        <v>33</v>
      </c>
      <c r="I7" t="s">
        <v>2</v>
      </c>
      <c r="J7" t="s">
        <v>12</v>
      </c>
      <c r="K7" t="s">
        <v>13</v>
      </c>
      <c r="L7" t="s">
        <v>30</v>
      </c>
    </row>
    <row r="8" spans="1:12" x14ac:dyDescent="0.35">
      <c r="B8">
        <v>5</v>
      </c>
      <c r="C8" s="3">
        <v>131.97999999999999</v>
      </c>
      <c r="D8" t="s">
        <v>4</v>
      </c>
      <c r="E8" t="s">
        <v>21</v>
      </c>
      <c r="F8" t="s">
        <v>22</v>
      </c>
      <c r="G8" s="1">
        <f t="shared" si="0"/>
        <v>5</v>
      </c>
      <c r="H8" t="s">
        <v>33</v>
      </c>
      <c r="I8" t="s">
        <v>2</v>
      </c>
      <c r="J8" t="s">
        <v>12</v>
      </c>
      <c r="K8" t="s">
        <v>13</v>
      </c>
      <c r="L8" t="s">
        <v>30</v>
      </c>
    </row>
    <row r="9" spans="1:12" x14ac:dyDescent="0.35">
      <c r="B9">
        <v>6</v>
      </c>
      <c r="C9" s="3">
        <v>145.5</v>
      </c>
      <c r="D9" t="s">
        <v>4</v>
      </c>
      <c r="E9" t="s">
        <v>21</v>
      </c>
      <c r="F9" t="s">
        <v>22</v>
      </c>
      <c r="G9" s="1">
        <f t="shared" si="0"/>
        <v>6</v>
      </c>
      <c r="H9" t="s">
        <v>33</v>
      </c>
      <c r="I9" t="s">
        <v>2</v>
      </c>
      <c r="J9" t="s">
        <v>12</v>
      </c>
      <c r="K9" t="s">
        <v>13</v>
      </c>
      <c r="L9" t="s">
        <v>30</v>
      </c>
    </row>
    <row r="10" spans="1:12" x14ac:dyDescent="0.35">
      <c r="B10">
        <v>7</v>
      </c>
      <c r="C10" s="3">
        <v>16.420000000000002</v>
      </c>
      <c r="D10" t="s">
        <v>4</v>
      </c>
      <c r="E10" t="s">
        <v>21</v>
      </c>
      <c r="F10" t="s">
        <v>22</v>
      </c>
      <c r="G10" s="1">
        <f t="shared" si="0"/>
        <v>7</v>
      </c>
      <c r="H10" t="s">
        <v>33</v>
      </c>
      <c r="I10" t="s">
        <v>2</v>
      </c>
      <c r="J10" t="s">
        <v>12</v>
      </c>
      <c r="K10" t="s">
        <v>13</v>
      </c>
      <c r="L10" t="s">
        <v>30</v>
      </c>
    </row>
    <row r="11" spans="1:12" x14ac:dyDescent="0.35">
      <c r="B11">
        <v>8</v>
      </c>
      <c r="C11" s="3">
        <v>176.86</v>
      </c>
      <c r="D11" t="s">
        <v>4</v>
      </c>
      <c r="E11" t="s">
        <v>21</v>
      </c>
      <c r="F11" t="s">
        <v>22</v>
      </c>
      <c r="G11" s="1">
        <f t="shared" si="0"/>
        <v>8</v>
      </c>
      <c r="H11" t="s">
        <v>33</v>
      </c>
      <c r="I11" t="s">
        <v>2</v>
      </c>
      <c r="J11" t="s">
        <v>12</v>
      </c>
      <c r="K11" t="s">
        <v>13</v>
      </c>
      <c r="L11" t="s">
        <v>30</v>
      </c>
    </row>
    <row r="12" spans="1:12" x14ac:dyDescent="0.35">
      <c r="B12" s="1" t="s">
        <v>1</v>
      </c>
      <c r="C12" s="1" t="s">
        <v>31</v>
      </c>
      <c r="D12" t="s">
        <v>34</v>
      </c>
      <c r="E12" t="s">
        <v>21</v>
      </c>
      <c r="F12" t="s">
        <v>22</v>
      </c>
      <c r="G12" s="1" t="str">
        <f t="shared" si="0"/>
        <v>OTR</v>
      </c>
      <c r="H12" t="s">
        <v>33</v>
      </c>
      <c r="I12" t="s">
        <v>2</v>
      </c>
      <c r="J12" t="s">
        <v>12</v>
      </c>
      <c r="K12" t="s">
        <v>13</v>
      </c>
      <c r="L12" t="s">
        <v>30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Vollers</dc:creator>
  <cp:lastModifiedBy>Ian Vollers</cp:lastModifiedBy>
  <dcterms:created xsi:type="dcterms:W3CDTF">2026-02-20T17:10:33Z</dcterms:created>
  <dcterms:modified xsi:type="dcterms:W3CDTF">2026-02-21T22:13:26Z</dcterms:modified>
</cp:coreProperties>
</file>